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8456268e380f0c/A ASU/EGR 304/Indiv Work/"/>
    </mc:Choice>
  </mc:AlternateContent>
  <xr:revisionPtr revIDLastSave="166" documentId="11_82CCDB4E82FD30B423F3B52BFAF1E2A76496AD1C" xr6:coauthVersionLast="47" xr6:coauthVersionMax="47" xr10:uidLastSave="{6FD4C7F5-3DC8-418C-A98D-BCE2CC312F4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9" i="1" l="1"/>
  <c r="D99" i="1"/>
  <c r="N98" i="1"/>
  <c r="D98" i="1"/>
  <c r="N97" i="1"/>
  <c r="D97" i="1"/>
  <c r="N96" i="1"/>
  <c r="D96" i="1"/>
  <c r="N95" i="1"/>
  <c r="D95" i="1"/>
  <c r="N94" i="1"/>
  <c r="D94" i="1"/>
  <c r="N93" i="1"/>
  <c r="D93" i="1"/>
  <c r="N92" i="1"/>
  <c r="D92" i="1"/>
  <c r="N91" i="1"/>
  <c r="D91" i="1"/>
  <c r="N90" i="1"/>
  <c r="D90" i="1"/>
  <c r="N89" i="1"/>
  <c r="D89" i="1"/>
  <c r="N88" i="1"/>
  <c r="D88" i="1"/>
  <c r="N87" i="1"/>
  <c r="D87" i="1"/>
  <c r="N86" i="1"/>
  <c r="D86" i="1"/>
  <c r="N85" i="1"/>
  <c r="D85" i="1"/>
  <c r="N84" i="1"/>
  <c r="D84" i="1"/>
  <c r="N83" i="1"/>
  <c r="D83" i="1"/>
  <c r="N82" i="1"/>
  <c r="D82" i="1"/>
  <c r="N81" i="1"/>
  <c r="D81" i="1"/>
  <c r="N80" i="1"/>
  <c r="D80" i="1"/>
  <c r="N79" i="1"/>
  <c r="D79" i="1"/>
  <c r="N78" i="1"/>
  <c r="D78" i="1"/>
  <c r="N77" i="1"/>
  <c r="D77" i="1"/>
  <c r="N76" i="1"/>
  <c r="D76" i="1"/>
  <c r="N75" i="1"/>
  <c r="D75" i="1"/>
  <c r="N74" i="1"/>
  <c r="D74" i="1"/>
  <c r="N73" i="1"/>
  <c r="D73" i="1"/>
  <c r="N72" i="1"/>
  <c r="D72" i="1"/>
  <c r="N71" i="1"/>
  <c r="D71" i="1"/>
  <c r="N70" i="1"/>
  <c r="D70" i="1"/>
  <c r="N69" i="1"/>
  <c r="D69" i="1"/>
  <c r="N68" i="1"/>
  <c r="D68" i="1"/>
  <c r="N67" i="1"/>
  <c r="D67" i="1"/>
  <c r="N66" i="1"/>
  <c r="D66" i="1"/>
  <c r="N65" i="1"/>
  <c r="D65" i="1"/>
  <c r="N64" i="1"/>
  <c r="D64" i="1"/>
  <c r="N63" i="1"/>
  <c r="D63" i="1"/>
  <c r="N62" i="1"/>
  <c r="D62" i="1"/>
  <c r="N61" i="1"/>
  <c r="D61" i="1"/>
  <c r="N60" i="1"/>
  <c r="D60" i="1"/>
  <c r="N59" i="1"/>
  <c r="D59" i="1"/>
  <c r="N58" i="1"/>
  <c r="D58" i="1"/>
  <c r="N57" i="1"/>
  <c r="D57" i="1"/>
  <c r="N56" i="1"/>
  <c r="D56" i="1"/>
  <c r="N55" i="1"/>
  <c r="D55" i="1"/>
  <c r="N54" i="1"/>
  <c r="D54" i="1"/>
  <c r="N53" i="1"/>
  <c r="D53" i="1"/>
  <c r="N52" i="1"/>
  <c r="D52" i="1"/>
  <c r="N51" i="1"/>
  <c r="D51" i="1"/>
  <c r="N50" i="1"/>
  <c r="D50" i="1"/>
  <c r="N49" i="1"/>
  <c r="D49" i="1"/>
  <c r="N48" i="1"/>
  <c r="D48" i="1"/>
  <c r="N47" i="1"/>
  <c r="D47" i="1"/>
  <c r="N46" i="1"/>
  <c r="D46" i="1"/>
  <c r="N45" i="1"/>
  <c r="D45" i="1"/>
  <c r="N44" i="1"/>
  <c r="D44" i="1"/>
  <c r="N43" i="1"/>
  <c r="D43" i="1"/>
  <c r="N42" i="1"/>
  <c r="D42" i="1"/>
  <c r="N41" i="1"/>
  <c r="D41" i="1"/>
  <c r="N40" i="1"/>
  <c r="D40" i="1"/>
  <c r="N39" i="1"/>
  <c r="D39" i="1"/>
  <c r="N38" i="1"/>
  <c r="D38" i="1"/>
  <c r="N37" i="1"/>
  <c r="D37" i="1"/>
  <c r="N36" i="1"/>
  <c r="D36" i="1"/>
  <c r="N35" i="1"/>
  <c r="D35" i="1"/>
  <c r="N34" i="1"/>
  <c r="D34" i="1"/>
  <c r="N33" i="1"/>
  <c r="D33" i="1"/>
  <c r="N32" i="1"/>
  <c r="D32" i="1"/>
  <c r="D31" i="1"/>
  <c r="D30" i="1"/>
</calcChain>
</file>

<file path=xl/sharedStrings.xml><?xml version="1.0" encoding="utf-8"?>
<sst xmlns="http://schemas.openxmlformats.org/spreadsheetml/2006/main" count="213" uniqueCount="89">
  <si>
    <t>Bill of Materials Example</t>
  </si>
  <si>
    <t>Part Name/Description</t>
  </si>
  <si>
    <t>Unit Quantity</t>
  </si>
  <si>
    <t>Unit Prototype Cost</t>
  </si>
  <si>
    <t>Total Prototype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</si>
  <si>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</si>
  <si>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</si>
  <si>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</si>
  <si>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</si>
  <si>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</si>
  <si>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</si>
  <si>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</si>
  <si>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</si>
  <si>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</si>
  <si>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</si>
  <si>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</si>
  <si>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R1, R2, R3</t>
  </si>
  <si>
    <t>SW1</t>
  </si>
  <si>
    <t>D1</t>
  </si>
  <si>
    <t xml:space="preserve">	
Infrared (IR) Emitter 860nm 1.5V 100mA 1100mW/sr @ 100mA 6° Radial</t>
  </si>
  <si>
    <t xml:space="preserve">
ams OSRAM AG</t>
  </si>
  <si>
    <t>SFH 4550</t>
  </si>
  <si>
    <t>https://www.digikey.com/en/products/detail/ams-osram-ag/sfh-4550/806365</t>
  </si>
  <si>
    <t>https://look.ams-osram.com/m/7d214b223a9adb85/original/SFH-4550.pdf</t>
  </si>
  <si>
    <t>DigiKey</t>
  </si>
  <si>
    <t>475-SFH4550-ND</t>
  </si>
  <si>
    <t>Null</t>
  </si>
  <si>
    <t>U5</t>
  </si>
  <si>
    <t>SENSOR PHOTODIODE 850NM RADIAL</t>
  </si>
  <si>
    <t>475-SFH213-ND</t>
  </si>
  <si>
    <t>SFH 213</t>
  </si>
  <si>
    <t>ams OSRAM AG</t>
  </si>
  <si>
    <t>U3</t>
  </si>
  <si>
    <t>MCP6004 I/P</t>
  </si>
  <si>
    <t>Fuse</t>
  </si>
  <si>
    <t>Fuse Holder</t>
  </si>
  <si>
    <t>LED</t>
  </si>
  <si>
    <t>Pushbutton Switch</t>
  </si>
  <si>
    <t>1M Ohms</t>
  </si>
  <si>
    <t>10k Ohms</t>
  </si>
  <si>
    <t>1k Ohms</t>
  </si>
  <si>
    <t>180 Ohms</t>
  </si>
  <si>
    <t>10uF</t>
  </si>
  <si>
    <t>.33uF</t>
  </si>
  <si>
    <t>.1uF</t>
  </si>
  <si>
    <t>IC OP AMP 4CH 14-PDIP</t>
  </si>
  <si>
    <t>Microchip Technology</t>
  </si>
  <si>
    <t>https://www.digikey.com/en/products/detail/microchip-technology/MCP6004-I-P/523060</t>
  </si>
  <si>
    <t>https://www.digikey.com/en/products/detail/ams-osram-ag/SFH-213/607286</t>
  </si>
  <si>
    <t>MCP6001/1R/1U/2/4 - 1 MHz, Low-Power Op Amp</t>
  </si>
  <si>
    <t>SFH-213.pdf</t>
  </si>
  <si>
    <t>U1, U2</t>
  </si>
  <si>
    <t>Peralta</t>
  </si>
  <si>
    <t>LM7805CT/NOPB</t>
  </si>
  <si>
    <t>296-47192-ND</t>
  </si>
  <si>
    <t>IC REG LINEAR 5V 1.5A TO220-3</t>
  </si>
  <si>
    <t>Texas Instruments</t>
  </si>
  <si>
    <t>https://www.digikey.com/en/products/detail/texas-instruments/LM7805CT-NOPB/3901929</t>
  </si>
  <si>
    <t>https://www.ti.com/lit/ds/symlink/lm7800.pdf</t>
  </si>
  <si>
    <t>U18</t>
  </si>
  <si>
    <t>F1</t>
  </si>
  <si>
    <t>R5,R9,R10</t>
  </si>
  <si>
    <t>R4,R7,R11</t>
  </si>
  <si>
    <t>R6,R8</t>
  </si>
  <si>
    <t>C2</t>
  </si>
  <si>
    <t>C3</t>
  </si>
  <si>
    <t>C4</t>
  </si>
  <si>
    <t>C6</t>
  </si>
  <si>
    <t>C5</t>
  </si>
  <si>
    <t>C1</t>
  </si>
  <si>
    <t>Fuse 5x20, 1A</t>
  </si>
  <si>
    <t>.01F</t>
  </si>
  <si>
    <t>470nF</t>
  </si>
  <si>
    <t>https://www.dropbox.com/scl/fi/2vn7lf6sw42n8gvxrnfy8/Spring-2023-Order-Planning.xlsx?rlkey=sb7mjh9vm48ac2a8zcb9fryed&amp;e=2&amp;dl=0</t>
  </si>
  <si>
    <t>https://www.dropbox.com/scl/fi/2vn7lf6sw42n8gvxrnfy8/Spring-2023-Order-Planning.xlsx?rlkey=sb7mjh9vm48ac2a8zcb9fryed&amp;e=2&amp;dl=1</t>
  </si>
  <si>
    <t>https://www.dropbox.com/scl/fi/2vn7lf6sw42n8gvxrnfy8/Spring-2023-Order-Planning.xlsx?rlkey=sb7mjh9vm48ac2a8zcb9fryed&amp;e=2&amp;dl=2</t>
  </si>
  <si>
    <t>https://www.dropbox.com/scl/fi/2vn7lf6sw42n8gvxrnfy8/Spring-2023-Order-Planning.xlsx?rlkey=sb7mjh9vm48ac2a8zcb9fryed&amp;e=2&amp;dl=3</t>
  </si>
  <si>
    <t>https://www.dropbox.com/scl/fi/2vn7lf6sw42n8gvxrnfy8/Spring-2023-Order-Planning.xlsx?rlkey=sb7mjh9vm48ac2a8zcb9fryed&amp;e=2&amp;dl=4</t>
  </si>
  <si>
    <t>https://www.dropbox.com/scl/fi/2vn7lf6sw42n8gvxrnfy8/Spring-2023-Order-Planning.xlsx?rlkey=sb7mjh9vm48ac2a8zcb9fryed&amp;e=2&amp;dl=5</t>
  </si>
  <si>
    <t>https://www.dropbox.com/scl/fi/2vn7lf6sw42n8gvxrnfy8/Spring-2023-Order-Planning.xlsx?rlkey=sb7mjh9vm48ac2a8zcb9fryed&amp;e=2&amp;dl=6</t>
  </si>
  <si>
    <t>https://www.dropbox.com/scl/fi/2vn7lf6sw42n8gvxrnfy8/Spring-2023-Order-Planning.xlsx?rlkey=sb7mjh9vm48ac2a8zcb9fryed&amp;e=2&amp;dl=7</t>
  </si>
  <si>
    <t>https://www.dropbox.com/scl/fi/2vn7lf6sw42n8gvxrnfy8/Spring-2023-Order-Planning.xlsx?rlkey=sb7mjh9vm48ac2a8zcb9fryed&amp;e=2&amp;dl=8</t>
  </si>
  <si>
    <t>https://www.dropbox.com/scl/fi/2vn7lf6sw42n8gvxrnfy8/Spring-2023-Order-Planning.xlsx?rlkey=sb7mjh9vm48ac2a8zcb9fryed&amp;e=2&amp;dl=9</t>
  </si>
  <si>
    <t>https://www.dropbox.com/scl/fi/2vn7lf6sw42n8gvxrnfy8/Spring-2023-Order-Planning.xlsx?rlkey=sb7mjh9vm48ac2a8zcb9fryed&amp;e=2&amp;dl=10</t>
  </si>
  <si>
    <t>https://www.dropbox.com/scl/fi/2vn7lf6sw42n8gvxrnfy8/Spring-2023-Order-Planning.xlsx?rlkey=sb7mjh9vm48ac2a8zcb9fryed&amp;e=2&amp;dl=11</t>
  </si>
  <si>
    <t>https://www.dropbox.com/scl/fi/2vn7lf6sw42n8gvxrnfy8/Spring-2023-Order-Planning.xlsx?rlkey=sb7mjh9vm48ac2a8zcb9fryed&amp;e=2&amp;dl=12</t>
  </si>
  <si>
    <t>https://www.dropbox.com/scl/fi/2vn7lf6sw42n8gvxrnfy8/Spring-2023-Order-Planning.xlsx?rlkey=sb7mjh9vm48ac2a8zcb9fryed&amp;e=2&amp;dl=13</t>
  </si>
  <si>
    <t>Resistor THT</t>
  </si>
  <si>
    <t>Capsitor 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</si>
</sst>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4" x14ac:knownFonts="1">
    <font>
      <sz val="10"/>
      <color rgb="FF000000"/>
      <name val="Arial"/>
    </font>
    <font>
      <b/>
      <sz val="24"/>
      <name val="Arial"/>
    </font>
    <font>
      <b/>
      <sz val="10"/>
      <name val="Arial"/>
    </font>
    <font>
      <sz val="10"/>
      <name val="Arial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0"/>
      <color theme="10"/>
      <name val="Arial"/>
    </font>
    <font>
      <sz val="9"/>
      <color rgb="FF222222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14" fontId="3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wrapText="1"/>
    </xf>
    <xf numFmtId="0" fontId="8" fillId="0" borderId="0" xfId="5"/>
    <xf numFmtId="0" fontId="6" fillId="5" borderId="0" xfId="3"/>
    <xf numFmtId="0" fontId="5" fillId="4" borderId="0" xfId="2"/>
    <xf numFmtId="0" fontId="4" fillId="3" borderId="0" xfId="1"/>
    <xf numFmtId="0" fontId="7" fillId="6" borderId="0" xfId="4"/>
    <xf numFmtId="8" fontId="0" fillId="0" borderId="0" xfId="0" applyNumberFormat="1"/>
    <xf numFmtId="8" fontId="9" fillId="0" borderId="0" xfId="0" applyNumberFormat="1" applyFont="1"/>
    <xf numFmtId="0" fontId="11" fillId="0" borderId="0" xfId="0" applyFont="1"/>
    <xf numFmtId="0" fontId="12" fillId="0" borderId="0" xfId="5" applyFont="1"/>
    <xf numFmtId="8" fontId="10" fillId="0" borderId="0" xfId="0" applyNumberFormat="1" applyFont="1" applyAlignment="1">
      <alignment horizontal="right"/>
    </xf>
  </cellXfs>
  <cellStyles count="6">
    <cellStyle name="Accent1" xfId="4" builtinId="29"/>
    <cellStyle name="Bad" xfId="2" builtinId="27"/>
    <cellStyle name="Good" xfId="1" builtinId="26"/>
    <cellStyle name="Hyperlink" xfId="5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lit/ds/symlink/lm7800.pdf" TargetMode="External"/><Relationship Id="rId3" Type="http://schemas.openxmlformats.org/officeDocument/2006/relationships/hyperlink" Target="https://www.digikey.com/en/products/detail/microchip-technology/MCP6004-I-P/523060" TargetMode="External"/><Relationship Id="rId7" Type="http://schemas.openxmlformats.org/officeDocument/2006/relationships/hyperlink" Target="https://www.digikey.com/en/products/detail/texas-instruments/LM7805CT-NOPB/3901929" TargetMode="External"/><Relationship Id="rId2" Type="http://schemas.openxmlformats.org/officeDocument/2006/relationships/hyperlink" Target="https://look.ams-osram.com/m/7d214b223a9adb85/original/SFH-4550.pdf" TargetMode="External"/><Relationship Id="rId1" Type="http://schemas.openxmlformats.org/officeDocument/2006/relationships/hyperlink" Target="https://www.digikey.com/en/products/detail/ams-osram-ag/sfh-4550/806365" TargetMode="External"/><Relationship Id="rId6" Type="http://schemas.openxmlformats.org/officeDocument/2006/relationships/hyperlink" Target="https://look.ams-osram.com/m/236756eb2a4c9193/original/SFH-213.pdf" TargetMode="External"/><Relationship Id="rId5" Type="http://schemas.openxmlformats.org/officeDocument/2006/relationships/hyperlink" Target="https://ww1.microchip.com/downloads/en/DeviceDoc/MCP6001-1R-1U-2-4-1-MHz-Low-Power-Op-Amp-DS20001733L.pdf" TargetMode="External"/><Relationship Id="rId10" Type="http://schemas.openxmlformats.org/officeDocument/2006/relationships/hyperlink" Target="https://www.dropbox.com/scl/fi/2vn7lf6sw42n8gvxrnfy8/Spring-2023-Order-Planning.xlsx?rlkey=sb7mjh9vm48ac2a8zcb9fryed&amp;e=2&amp;dl=0" TargetMode="External"/><Relationship Id="rId4" Type="http://schemas.openxmlformats.org/officeDocument/2006/relationships/hyperlink" Target="https://www.digikey.com/en/products/detail/ams-osram-ag/SFH-213/607286" TargetMode="External"/><Relationship Id="rId9" Type="http://schemas.openxmlformats.org/officeDocument/2006/relationships/hyperlink" Target="https://www.dropbox.com/scl/fi/2vn7lf6sw42n8gvxrnfy8/Spring-2023-Order-Planning.xlsx?rlkey=sb7mjh9vm48ac2a8zcb9fryed&amp;e=2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1"/>
  <sheetViews>
    <sheetView tabSelected="1" zoomScale="85" zoomScaleNormal="85" workbookViewId="0">
      <selection activeCell="G30" sqref="G30"/>
    </sheetView>
  </sheetViews>
  <sheetFormatPr defaultColWidth="12.7109375" defaultRowHeight="15.75" customHeight="1" x14ac:dyDescent="0.2"/>
  <cols>
    <col min="1" max="1" width="43.140625" bestFit="1" customWidth="1"/>
    <col min="2" max="2" width="11.140625" customWidth="1"/>
    <col min="3" max="3" width="16.140625" customWidth="1"/>
    <col min="4" max="4" width="16.85546875" customWidth="1"/>
    <col min="5" max="5" width="11.140625" customWidth="1"/>
    <col min="6" max="8" width="16.140625" customWidth="1"/>
    <col min="9" max="9" width="9.28515625" customWidth="1"/>
    <col min="10" max="10" width="12.28515625" customWidth="1"/>
    <col min="11" max="11" width="8.42578125" customWidth="1"/>
    <col min="12" max="12" width="11.140625" customWidth="1"/>
    <col min="13" max="13" width="9.28515625" customWidth="1"/>
    <col min="14" max="14" width="6.85546875" customWidth="1"/>
    <col min="15" max="15" width="33.28515625" customWidth="1"/>
  </cols>
  <sheetData>
    <row r="1" spans="1:15" ht="15.75" customHeight="1" x14ac:dyDescent="0.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5.7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5.75" customHeight="1" x14ac:dyDescent="0.25">
      <c r="A3" s="8" t="s">
        <v>19</v>
      </c>
      <c r="B3" s="3">
        <v>1</v>
      </c>
      <c r="C3" s="4">
        <v>0.98</v>
      </c>
      <c r="D3" s="4">
        <v>0.98</v>
      </c>
      <c r="E3" s="8" t="s">
        <v>20</v>
      </c>
      <c r="F3" s="12" t="s">
        <v>21</v>
      </c>
      <c r="G3" s="9" t="s">
        <v>22</v>
      </c>
      <c r="H3" s="9" t="s">
        <v>23</v>
      </c>
      <c r="I3" s="2" t="s">
        <v>24</v>
      </c>
      <c r="J3" s="2" t="s">
        <v>25</v>
      </c>
      <c r="K3" s="2">
        <v>3</v>
      </c>
      <c r="L3" s="5" t="s">
        <v>26</v>
      </c>
      <c r="M3" s="2" t="s">
        <v>26</v>
      </c>
      <c r="N3" s="3" t="s">
        <v>26</v>
      </c>
      <c r="O3" s="2" t="s">
        <v>27</v>
      </c>
    </row>
    <row r="4" spans="1:15" ht="15.75" customHeight="1" x14ac:dyDescent="0.25">
      <c r="A4" s="2" t="s">
        <v>28</v>
      </c>
      <c r="B4" s="3">
        <v>1</v>
      </c>
      <c r="C4" s="4">
        <v>0.91</v>
      </c>
      <c r="D4" s="4">
        <v>0.91</v>
      </c>
      <c r="E4" s="2" t="s">
        <v>31</v>
      </c>
      <c r="F4" s="12" t="s">
        <v>30</v>
      </c>
      <c r="G4" s="9" t="s">
        <v>48</v>
      </c>
      <c r="H4" s="9" t="s">
        <v>50</v>
      </c>
      <c r="I4" s="2" t="s">
        <v>24</v>
      </c>
      <c r="J4" s="2" t="s">
        <v>29</v>
      </c>
      <c r="K4" s="2">
        <v>3</v>
      </c>
      <c r="L4" s="5" t="s">
        <v>26</v>
      </c>
      <c r="M4" s="2" t="s">
        <v>26</v>
      </c>
      <c r="N4" s="3" t="s">
        <v>26</v>
      </c>
      <c r="O4" s="2" t="s">
        <v>32</v>
      </c>
    </row>
    <row r="5" spans="1:15" ht="15.75" customHeight="1" x14ac:dyDescent="0.2">
      <c r="A5" s="2" t="s">
        <v>45</v>
      </c>
      <c r="B5" s="3">
        <v>1</v>
      </c>
      <c r="C5" s="4">
        <v>0.6</v>
      </c>
      <c r="D5" s="15">
        <v>0.6</v>
      </c>
      <c r="E5" s="16" t="s">
        <v>46</v>
      </c>
      <c r="F5" s="2" t="s">
        <v>33</v>
      </c>
      <c r="G5" s="9" t="s">
        <v>47</v>
      </c>
      <c r="H5" s="17" t="s">
        <v>49</v>
      </c>
      <c r="I5" s="16" t="s">
        <v>52</v>
      </c>
      <c r="J5" s="16" t="s">
        <v>26</v>
      </c>
      <c r="K5" s="2">
        <v>1</v>
      </c>
      <c r="L5" s="5" t="s">
        <v>26</v>
      </c>
      <c r="M5" s="2" t="s">
        <v>26</v>
      </c>
      <c r="N5" s="3" t="s">
        <v>26</v>
      </c>
      <c r="O5" s="16" t="s">
        <v>51</v>
      </c>
    </row>
    <row r="6" spans="1:15" ht="15.75" customHeight="1" x14ac:dyDescent="0.2">
      <c r="A6" s="2" t="s">
        <v>55</v>
      </c>
      <c r="B6" s="3">
        <v>1</v>
      </c>
      <c r="C6" s="4">
        <v>1.86</v>
      </c>
      <c r="D6" s="4">
        <v>1.86</v>
      </c>
      <c r="E6" s="16" t="s">
        <v>56</v>
      </c>
      <c r="F6" s="16" t="s">
        <v>53</v>
      </c>
      <c r="G6" s="9" t="s">
        <v>57</v>
      </c>
      <c r="H6" s="9" t="s">
        <v>58</v>
      </c>
      <c r="I6" s="16" t="s">
        <v>24</v>
      </c>
      <c r="J6" s="16" t="s">
        <v>54</v>
      </c>
      <c r="K6" s="2">
        <v>2</v>
      </c>
      <c r="L6" s="5" t="s">
        <v>26</v>
      </c>
      <c r="M6" s="2" t="s">
        <v>26</v>
      </c>
      <c r="N6" s="3" t="s">
        <v>26</v>
      </c>
      <c r="O6" s="16" t="s">
        <v>59</v>
      </c>
    </row>
    <row r="7" spans="1:15" ht="15.75" customHeight="1" x14ac:dyDescent="0.25">
      <c r="A7" s="16" t="s">
        <v>70</v>
      </c>
      <c r="B7" s="3">
        <v>1</v>
      </c>
      <c r="C7" s="14">
        <v>1E-3</v>
      </c>
      <c r="D7" s="18">
        <v>1E-3</v>
      </c>
      <c r="E7" s="2" t="s">
        <v>26</v>
      </c>
      <c r="F7" s="13" t="s">
        <v>34</v>
      </c>
      <c r="G7" s="9" t="s">
        <v>73</v>
      </c>
      <c r="H7" s="2" t="s">
        <v>26</v>
      </c>
      <c r="I7" s="2" t="s">
        <v>52</v>
      </c>
      <c r="J7" s="2" t="s">
        <v>26</v>
      </c>
      <c r="K7" s="2">
        <v>2</v>
      </c>
      <c r="L7" s="5" t="s">
        <v>26</v>
      </c>
      <c r="M7" s="2" t="s">
        <v>26</v>
      </c>
      <c r="N7" s="3" t="s">
        <v>26</v>
      </c>
      <c r="O7" s="16" t="s">
        <v>60</v>
      </c>
    </row>
    <row r="8" spans="1:15" ht="15.75" customHeight="1" x14ac:dyDescent="0.25">
      <c r="A8" s="2" t="s">
        <v>35</v>
      </c>
      <c r="B8" s="3">
        <v>1</v>
      </c>
      <c r="C8" s="14">
        <v>1E-3</v>
      </c>
      <c r="D8" s="18">
        <v>1E-3</v>
      </c>
      <c r="E8" s="2" t="s">
        <v>26</v>
      </c>
      <c r="F8" s="13" t="s">
        <v>35</v>
      </c>
      <c r="G8" s="9" t="s">
        <v>74</v>
      </c>
      <c r="H8" s="2" t="s">
        <v>26</v>
      </c>
      <c r="I8" s="2" t="s">
        <v>52</v>
      </c>
      <c r="J8" s="2" t="s">
        <v>26</v>
      </c>
      <c r="K8" s="2">
        <v>1</v>
      </c>
      <c r="L8" s="5" t="s">
        <v>26</v>
      </c>
      <c r="M8" s="2" t="s">
        <v>26</v>
      </c>
      <c r="N8" s="3" t="s">
        <v>26</v>
      </c>
      <c r="O8" s="2"/>
    </row>
    <row r="9" spans="1:15" ht="15.75" customHeight="1" x14ac:dyDescent="0.2">
      <c r="A9" s="2" t="s">
        <v>37</v>
      </c>
      <c r="B9" s="3">
        <v>1</v>
      </c>
      <c r="C9" s="14">
        <v>1E-3</v>
      </c>
      <c r="D9" s="18">
        <v>1E-3</v>
      </c>
      <c r="E9" s="2" t="s">
        <v>26</v>
      </c>
      <c r="F9" s="2" t="s">
        <v>36</v>
      </c>
      <c r="G9" s="9" t="s">
        <v>75</v>
      </c>
      <c r="H9" s="2" t="s">
        <v>26</v>
      </c>
      <c r="I9" s="2" t="s">
        <v>52</v>
      </c>
      <c r="J9" s="2" t="s">
        <v>26</v>
      </c>
      <c r="K9" s="2">
        <v>2</v>
      </c>
      <c r="L9" s="5" t="s">
        <v>26</v>
      </c>
      <c r="M9" s="2" t="s">
        <v>26</v>
      </c>
      <c r="N9" s="3" t="s">
        <v>26</v>
      </c>
      <c r="O9" s="16" t="s">
        <v>18</v>
      </c>
    </row>
    <row r="10" spans="1:15" ht="15.75" customHeight="1" x14ac:dyDescent="0.2">
      <c r="A10" s="2" t="s">
        <v>87</v>
      </c>
      <c r="B10" s="3">
        <v>1</v>
      </c>
      <c r="C10" s="14">
        <v>1E-3</v>
      </c>
      <c r="D10" s="18">
        <v>1E-3</v>
      </c>
      <c r="E10" s="2" t="s">
        <v>26</v>
      </c>
      <c r="F10" s="2" t="s">
        <v>37</v>
      </c>
      <c r="G10" s="9" t="s">
        <v>76</v>
      </c>
      <c r="H10" s="2" t="s">
        <v>26</v>
      </c>
      <c r="I10" s="2" t="s">
        <v>52</v>
      </c>
      <c r="J10" s="2" t="s">
        <v>26</v>
      </c>
      <c r="K10" s="2">
        <v>3</v>
      </c>
      <c r="L10" s="5" t="s">
        <v>26</v>
      </c>
      <c r="M10" s="2" t="s">
        <v>26</v>
      </c>
      <c r="N10" s="3" t="s">
        <v>26</v>
      </c>
      <c r="O10" s="16" t="s">
        <v>17</v>
      </c>
    </row>
    <row r="11" spans="1:15" ht="15.75" customHeight="1" x14ac:dyDescent="0.25">
      <c r="A11" s="2" t="s">
        <v>87</v>
      </c>
      <c r="B11" s="3">
        <v>1</v>
      </c>
      <c r="C11" s="14">
        <v>1E-3</v>
      </c>
      <c r="D11" s="18">
        <v>1E-3</v>
      </c>
      <c r="E11" s="2" t="s">
        <v>26</v>
      </c>
      <c r="F11" s="10" t="s">
        <v>38</v>
      </c>
      <c r="G11" s="9" t="s">
        <v>77</v>
      </c>
      <c r="H11" s="2" t="s">
        <v>26</v>
      </c>
      <c r="I11" s="2" t="s">
        <v>52</v>
      </c>
      <c r="J11" s="2" t="s">
        <v>26</v>
      </c>
      <c r="K11" s="2">
        <v>5</v>
      </c>
      <c r="L11" s="5" t="s">
        <v>26</v>
      </c>
      <c r="M11" s="2" t="s">
        <v>26</v>
      </c>
      <c r="N11" s="3" t="s">
        <v>26</v>
      </c>
      <c r="O11" s="16" t="s">
        <v>16</v>
      </c>
    </row>
    <row r="12" spans="1:15" ht="15.75" customHeight="1" x14ac:dyDescent="0.25">
      <c r="A12" s="2" t="s">
        <v>87</v>
      </c>
      <c r="B12" s="3">
        <v>1</v>
      </c>
      <c r="C12" s="14">
        <v>1E-3</v>
      </c>
      <c r="D12" s="18">
        <v>1E-3</v>
      </c>
      <c r="E12" s="2" t="s">
        <v>26</v>
      </c>
      <c r="F12" s="10" t="s">
        <v>39</v>
      </c>
      <c r="G12" s="9" t="s">
        <v>78</v>
      </c>
      <c r="H12" s="2" t="s">
        <v>26</v>
      </c>
      <c r="I12" s="2" t="s">
        <v>52</v>
      </c>
      <c r="J12" s="2" t="s">
        <v>26</v>
      </c>
      <c r="K12" s="2">
        <v>5</v>
      </c>
      <c r="L12" s="5" t="s">
        <v>26</v>
      </c>
      <c r="M12" s="2" t="s">
        <v>26</v>
      </c>
      <c r="N12" s="3" t="s">
        <v>26</v>
      </c>
      <c r="O12" t="s">
        <v>61</v>
      </c>
    </row>
    <row r="13" spans="1:15" ht="15.75" customHeight="1" x14ac:dyDescent="0.25">
      <c r="A13" s="2" t="s">
        <v>87</v>
      </c>
      <c r="B13" s="3">
        <v>1</v>
      </c>
      <c r="C13" s="14">
        <v>1E-3</v>
      </c>
      <c r="D13" s="18">
        <v>1E-3</v>
      </c>
      <c r="E13" s="2" t="s">
        <v>26</v>
      </c>
      <c r="F13" s="10" t="s">
        <v>40</v>
      </c>
      <c r="G13" s="9" t="s">
        <v>79</v>
      </c>
      <c r="H13" s="2" t="s">
        <v>26</v>
      </c>
      <c r="I13" s="2" t="s">
        <v>52</v>
      </c>
      <c r="J13" s="2" t="s">
        <v>26</v>
      </c>
      <c r="K13" s="2">
        <v>5</v>
      </c>
      <c r="L13" s="5" t="s">
        <v>26</v>
      </c>
      <c r="M13" s="2" t="s">
        <v>26</v>
      </c>
      <c r="N13" s="3" t="s">
        <v>26</v>
      </c>
      <c r="O13" t="s">
        <v>62</v>
      </c>
    </row>
    <row r="14" spans="1:15" ht="15.75" customHeight="1" x14ac:dyDescent="0.25">
      <c r="A14" s="2" t="s">
        <v>87</v>
      </c>
      <c r="B14" s="3">
        <v>1</v>
      </c>
      <c r="C14" s="14">
        <v>1E-3</v>
      </c>
      <c r="D14" s="18">
        <v>1E-3</v>
      </c>
      <c r="E14" s="2" t="s">
        <v>26</v>
      </c>
      <c r="F14" s="10" t="s">
        <v>41</v>
      </c>
      <c r="G14" s="9" t="s">
        <v>80</v>
      </c>
      <c r="H14" s="2" t="s">
        <v>26</v>
      </c>
      <c r="I14" s="2" t="s">
        <v>52</v>
      </c>
      <c r="J14" s="2" t="s">
        <v>26</v>
      </c>
      <c r="K14" s="2">
        <v>4</v>
      </c>
      <c r="L14" s="5" t="s">
        <v>26</v>
      </c>
      <c r="M14" s="2" t="s">
        <v>26</v>
      </c>
      <c r="N14" s="3" t="s">
        <v>26</v>
      </c>
      <c r="O14" t="s">
        <v>63</v>
      </c>
    </row>
    <row r="15" spans="1:15" ht="15.75" customHeight="1" x14ac:dyDescent="0.25">
      <c r="A15" s="2" t="s">
        <v>88</v>
      </c>
      <c r="B15" s="3">
        <v>1</v>
      </c>
      <c r="C15" s="14">
        <v>1E-3</v>
      </c>
      <c r="D15" s="18">
        <v>1E-3</v>
      </c>
      <c r="E15" s="2" t="s">
        <v>26</v>
      </c>
      <c r="F15" s="11" t="s">
        <v>42</v>
      </c>
      <c r="G15" s="9" t="s">
        <v>81</v>
      </c>
      <c r="H15" s="2" t="s">
        <v>26</v>
      </c>
      <c r="I15" s="2" t="s">
        <v>52</v>
      </c>
      <c r="J15" s="2" t="s">
        <v>26</v>
      </c>
      <c r="K15" s="2">
        <v>3</v>
      </c>
      <c r="L15" s="5" t="s">
        <v>26</v>
      </c>
      <c r="M15" s="2" t="s">
        <v>26</v>
      </c>
      <c r="N15" s="3" t="s">
        <v>26</v>
      </c>
      <c r="O15" t="s">
        <v>64</v>
      </c>
    </row>
    <row r="16" spans="1:15" ht="15.75" customHeight="1" x14ac:dyDescent="0.25">
      <c r="A16" s="2" t="s">
        <v>88</v>
      </c>
      <c r="B16" s="3">
        <v>1</v>
      </c>
      <c r="C16" s="14">
        <v>1E-3</v>
      </c>
      <c r="D16" s="18">
        <v>1E-3</v>
      </c>
      <c r="E16" s="2" t="s">
        <v>26</v>
      </c>
      <c r="F16" s="11" t="s">
        <v>72</v>
      </c>
      <c r="G16" s="9" t="s">
        <v>82</v>
      </c>
      <c r="H16" s="2" t="s">
        <v>26</v>
      </c>
      <c r="I16" s="2" t="s">
        <v>52</v>
      </c>
      <c r="J16" s="2" t="s">
        <v>26</v>
      </c>
      <c r="K16" s="2">
        <v>5</v>
      </c>
      <c r="L16" s="5" t="s">
        <v>26</v>
      </c>
      <c r="M16" s="2" t="s">
        <v>26</v>
      </c>
      <c r="N16" s="3" t="s">
        <v>26</v>
      </c>
      <c r="O16" t="s">
        <v>65</v>
      </c>
    </row>
    <row r="17" spans="1:15" ht="15.75" customHeight="1" x14ac:dyDescent="0.25">
      <c r="A17" s="2" t="s">
        <v>88</v>
      </c>
      <c r="B17" s="3">
        <v>1</v>
      </c>
      <c r="C17" s="14">
        <v>1E-3</v>
      </c>
      <c r="D17" s="18">
        <v>1E-3</v>
      </c>
      <c r="E17" s="2" t="s">
        <v>26</v>
      </c>
      <c r="F17" s="11" t="s">
        <v>43</v>
      </c>
      <c r="G17" s="9" t="s">
        <v>83</v>
      </c>
      <c r="H17" s="2" t="s">
        <v>26</v>
      </c>
      <c r="I17" s="2" t="s">
        <v>52</v>
      </c>
      <c r="J17" s="2" t="s">
        <v>26</v>
      </c>
      <c r="K17" s="2">
        <v>3</v>
      </c>
      <c r="L17" s="5" t="s">
        <v>26</v>
      </c>
      <c r="M17" s="2" t="s">
        <v>26</v>
      </c>
      <c r="N17" s="3" t="s">
        <v>26</v>
      </c>
      <c r="O17" t="s">
        <v>66</v>
      </c>
    </row>
    <row r="18" spans="1:15" ht="15.75" customHeight="1" x14ac:dyDescent="0.25">
      <c r="A18" s="2" t="s">
        <v>88</v>
      </c>
      <c r="B18" s="3">
        <v>1</v>
      </c>
      <c r="C18" s="14">
        <v>1E-3</v>
      </c>
      <c r="D18" s="18">
        <v>1E-3</v>
      </c>
      <c r="E18" s="2" t="s">
        <v>26</v>
      </c>
      <c r="F18" s="11" t="s">
        <v>44</v>
      </c>
      <c r="G18" s="9" t="s">
        <v>84</v>
      </c>
      <c r="H18" s="2" t="s">
        <v>26</v>
      </c>
      <c r="I18" s="2" t="s">
        <v>52</v>
      </c>
      <c r="J18" s="2" t="s">
        <v>26</v>
      </c>
      <c r="K18" s="2">
        <v>3</v>
      </c>
      <c r="L18" s="5" t="s">
        <v>26</v>
      </c>
      <c r="M18" s="2" t="s">
        <v>26</v>
      </c>
      <c r="N18" s="3" t="s">
        <v>26</v>
      </c>
      <c r="O18" t="s">
        <v>67</v>
      </c>
    </row>
    <row r="19" spans="1:15" ht="15.75" customHeight="1" x14ac:dyDescent="0.25">
      <c r="A19" s="2" t="s">
        <v>88</v>
      </c>
      <c r="B19" s="3">
        <v>1</v>
      </c>
      <c r="C19" s="14">
        <v>1E-3</v>
      </c>
      <c r="D19" s="18">
        <v>1E-3</v>
      </c>
      <c r="E19" s="2" t="s">
        <v>26</v>
      </c>
      <c r="F19" s="11" t="s">
        <v>44</v>
      </c>
      <c r="G19" s="9" t="s">
        <v>85</v>
      </c>
      <c r="H19" s="2" t="s">
        <v>26</v>
      </c>
      <c r="I19" s="2" t="s">
        <v>52</v>
      </c>
      <c r="J19" s="2" t="s">
        <v>26</v>
      </c>
      <c r="K19" s="2">
        <v>3</v>
      </c>
      <c r="L19" s="5" t="s">
        <v>26</v>
      </c>
      <c r="M19" s="2" t="s">
        <v>26</v>
      </c>
      <c r="N19" s="3" t="s">
        <v>26</v>
      </c>
      <c r="O19" t="s">
        <v>68</v>
      </c>
    </row>
    <row r="20" spans="1:15" ht="15.75" customHeight="1" x14ac:dyDescent="0.25">
      <c r="A20" s="2" t="s">
        <v>88</v>
      </c>
      <c r="B20" s="3">
        <v>1</v>
      </c>
      <c r="C20" s="14">
        <v>1E-3</v>
      </c>
      <c r="D20" s="18">
        <v>1E-3</v>
      </c>
      <c r="E20" s="2" t="s">
        <v>26</v>
      </c>
      <c r="F20" s="11" t="s">
        <v>71</v>
      </c>
      <c r="G20" s="9" t="s">
        <v>86</v>
      </c>
      <c r="H20" s="2" t="s">
        <v>26</v>
      </c>
      <c r="I20" s="2" t="s">
        <v>24</v>
      </c>
      <c r="J20" s="2" t="s">
        <v>26</v>
      </c>
      <c r="K20" s="2">
        <v>3</v>
      </c>
      <c r="L20" s="5" t="s">
        <v>26</v>
      </c>
      <c r="M20" s="2" t="s">
        <v>26</v>
      </c>
      <c r="N20" s="3" t="s">
        <v>26</v>
      </c>
      <c r="O20" t="s">
        <v>69</v>
      </c>
    </row>
    <row r="21" spans="1:15" ht="15.75" customHeight="1" x14ac:dyDescent="0.2">
      <c r="B21" s="3"/>
      <c r="C21" s="4"/>
      <c r="D21" s="4"/>
      <c r="L21" s="5"/>
      <c r="N21" s="3"/>
    </row>
    <row r="22" spans="1:15" ht="15.75" customHeight="1" x14ac:dyDescent="0.2">
      <c r="B22" s="3"/>
      <c r="C22" s="4"/>
      <c r="D22" s="4"/>
      <c r="L22" s="5"/>
      <c r="N22" s="3"/>
    </row>
    <row r="23" spans="1:15" ht="15.75" customHeight="1" x14ac:dyDescent="0.2">
      <c r="B23" s="3"/>
      <c r="C23" s="4"/>
      <c r="D23" s="4"/>
      <c r="L23" s="5"/>
      <c r="N23" s="3"/>
    </row>
    <row r="24" spans="1:15" ht="15.75" customHeight="1" x14ac:dyDescent="0.2">
      <c r="B24" s="3"/>
      <c r="C24" s="4"/>
      <c r="D24" s="4"/>
      <c r="L24" s="5"/>
      <c r="N24" s="3"/>
    </row>
    <row r="25" spans="1:15" ht="15.75" customHeight="1" x14ac:dyDescent="0.2">
      <c r="B25" s="3"/>
      <c r="C25" s="4"/>
      <c r="D25" s="4"/>
      <c r="L25" s="5"/>
      <c r="N25" s="3"/>
    </row>
    <row r="26" spans="1:15" ht="15.75" customHeight="1" x14ac:dyDescent="0.2">
      <c r="B26" s="3"/>
      <c r="C26" s="4"/>
      <c r="D26" s="4"/>
      <c r="L26" s="5"/>
      <c r="N26" s="3"/>
    </row>
    <row r="27" spans="1:15" ht="12.75" x14ac:dyDescent="0.2">
      <c r="B27" s="3"/>
      <c r="C27" s="4"/>
      <c r="D27" s="4"/>
      <c r="L27" s="5"/>
      <c r="N27" s="3"/>
    </row>
    <row r="28" spans="1:15" ht="12.75" x14ac:dyDescent="0.2">
      <c r="B28" s="3"/>
      <c r="C28" s="4"/>
      <c r="D28" s="4"/>
      <c r="L28" s="5"/>
      <c r="N28" s="3"/>
    </row>
    <row r="29" spans="1:15" ht="12.75" x14ac:dyDescent="0.2">
      <c r="B29" s="3"/>
      <c r="C29" s="4"/>
      <c r="D29" s="4"/>
      <c r="L29" s="5"/>
      <c r="N29" s="3"/>
    </row>
    <row r="30" spans="1:15" ht="12.75" x14ac:dyDescent="0.2">
      <c r="B30" s="3"/>
      <c r="C30" s="4"/>
      <c r="D30" s="4">
        <f t="shared" ref="D30:D99" si="0">B30*C30</f>
        <v>0</v>
      </c>
      <c r="L30" s="5"/>
      <c r="N30" s="3"/>
    </row>
    <row r="31" spans="1:15" ht="12.75" x14ac:dyDescent="0.2">
      <c r="B31" s="3"/>
      <c r="C31" s="4"/>
      <c r="D31" s="4">
        <f t="shared" si="0"/>
        <v>0</v>
      </c>
      <c r="L31" s="5"/>
      <c r="N31" s="3"/>
    </row>
    <row r="32" spans="1:15" ht="12.75" x14ac:dyDescent="0.2">
      <c r="B32" s="3"/>
      <c r="C32" s="4"/>
      <c r="D32" s="4">
        <f t="shared" si="0"/>
        <v>0</v>
      </c>
      <c r="L32" s="5"/>
      <c r="N32" s="3">
        <f>M32-B32</f>
        <v>0</v>
      </c>
    </row>
    <row r="33" spans="2:14" ht="12.75" x14ac:dyDescent="0.2">
      <c r="B33" s="3"/>
      <c r="C33" s="4"/>
      <c r="D33" s="4">
        <f t="shared" si="0"/>
        <v>0</v>
      </c>
      <c r="L33" s="5"/>
      <c r="N33" s="3">
        <f>M33-B33</f>
        <v>0</v>
      </c>
    </row>
    <row r="34" spans="2:14" ht="12.75" x14ac:dyDescent="0.2">
      <c r="B34" s="3"/>
      <c r="C34" s="4"/>
      <c r="D34" s="4">
        <f t="shared" si="0"/>
        <v>0</v>
      </c>
      <c r="L34" s="5"/>
      <c r="N34" s="3">
        <f>M34-B34</f>
        <v>0</v>
      </c>
    </row>
    <row r="35" spans="2:14" ht="12.75" x14ac:dyDescent="0.2">
      <c r="B35" s="3"/>
      <c r="C35" s="4"/>
      <c r="D35" s="4">
        <f t="shared" si="0"/>
        <v>0</v>
      </c>
      <c r="L35" s="5"/>
      <c r="N35" s="3">
        <f>M35-B35</f>
        <v>0</v>
      </c>
    </row>
    <row r="36" spans="2:14" ht="12.75" x14ac:dyDescent="0.2">
      <c r="B36" s="3"/>
      <c r="C36" s="4"/>
      <c r="D36" s="4">
        <f t="shared" si="0"/>
        <v>0</v>
      </c>
      <c r="L36" s="5"/>
      <c r="N36" s="3">
        <f>M36-B36</f>
        <v>0</v>
      </c>
    </row>
    <row r="37" spans="2:14" ht="12.75" x14ac:dyDescent="0.2">
      <c r="B37" s="3"/>
      <c r="C37" s="4"/>
      <c r="D37" s="4">
        <f t="shared" si="0"/>
        <v>0</v>
      </c>
      <c r="L37" s="5"/>
      <c r="N37" s="3">
        <f>M37-B37</f>
        <v>0</v>
      </c>
    </row>
    <row r="38" spans="2:14" ht="12.75" x14ac:dyDescent="0.2">
      <c r="B38" s="3"/>
      <c r="C38" s="4"/>
      <c r="D38" s="4">
        <f t="shared" si="0"/>
        <v>0</v>
      </c>
      <c r="L38" s="5"/>
      <c r="N38" s="3">
        <f>M38-B38</f>
        <v>0</v>
      </c>
    </row>
    <row r="39" spans="2:14" ht="12.75" x14ac:dyDescent="0.2">
      <c r="B39" s="3"/>
      <c r="C39" s="4"/>
      <c r="D39" s="4">
        <f t="shared" si="0"/>
        <v>0</v>
      </c>
      <c r="L39" s="5"/>
      <c r="N39" s="3">
        <f>M39-B39</f>
        <v>0</v>
      </c>
    </row>
    <row r="40" spans="2:14" ht="12.75" x14ac:dyDescent="0.2">
      <c r="B40" s="3"/>
      <c r="C40" s="4"/>
      <c r="D40" s="4">
        <f t="shared" si="0"/>
        <v>0</v>
      </c>
      <c r="L40" s="5"/>
      <c r="N40" s="3">
        <f>M40-B40</f>
        <v>0</v>
      </c>
    </row>
    <row r="41" spans="2:14" ht="12.75" x14ac:dyDescent="0.2">
      <c r="B41" s="3"/>
      <c r="C41" s="4"/>
      <c r="D41" s="4">
        <f t="shared" si="0"/>
        <v>0</v>
      </c>
      <c r="L41" s="5"/>
      <c r="N41" s="3">
        <f>M41-B41</f>
        <v>0</v>
      </c>
    </row>
    <row r="42" spans="2:14" ht="12.75" x14ac:dyDescent="0.2">
      <c r="B42" s="3"/>
      <c r="C42" s="4"/>
      <c r="D42" s="4">
        <f t="shared" si="0"/>
        <v>0</v>
      </c>
      <c r="L42" s="5"/>
      <c r="N42" s="3">
        <f>M42-B42</f>
        <v>0</v>
      </c>
    </row>
    <row r="43" spans="2:14" ht="12.75" x14ac:dyDescent="0.2">
      <c r="B43" s="3"/>
      <c r="C43" s="4"/>
      <c r="D43" s="4">
        <f t="shared" si="0"/>
        <v>0</v>
      </c>
      <c r="L43" s="5"/>
      <c r="N43" s="3">
        <f>M43-B43</f>
        <v>0</v>
      </c>
    </row>
    <row r="44" spans="2:14" ht="12.75" x14ac:dyDescent="0.2">
      <c r="B44" s="3"/>
      <c r="C44" s="4"/>
      <c r="D44" s="4">
        <f t="shared" si="0"/>
        <v>0</v>
      </c>
      <c r="L44" s="5"/>
      <c r="N44" s="3">
        <f>M44-B44</f>
        <v>0</v>
      </c>
    </row>
    <row r="45" spans="2:14" ht="12.75" x14ac:dyDescent="0.2">
      <c r="B45" s="3"/>
      <c r="C45" s="4"/>
      <c r="D45" s="4">
        <f t="shared" si="0"/>
        <v>0</v>
      </c>
      <c r="L45" s="5"/>
      <c r="N45" s="3">
        <f>M45-B45</f>
        <v>0</v>
      </c>
    </row>
    <row r="46" spans="2:14" ht="12.75" x14ac:dyDescent="0.2">
      <c r="B46" s="3"/>
      <c r="C46" s="4"/>
      <c r="D46" s="4">
        <f t="shared" si="0"/>
        <v>0</v>
      </c>
      <c r="L46" s="5"/>
      <c r="N46" s="3">
        <f>M46-B46</f>
        <v>0</v>
      </c>
    </row>
    <row r="47" spans="2:14" ht="12.75" x14ac:dyDescent="0.2">
      <c r="B47" s="3"/>
      <c r="C47" s="4"/>
      <c r="D47" s="4">
        <f t="shared" si="0"/>
        <v>0</v>
      </c>
      <c r="L47" s="5"/>
      <c r="N47" s="3">
        <f>M47-B47</f>
        <v>0</v>
      </c>
    </row>
    <row r="48" spans="2:14" ht="12.75" x14ac:dyDescent="0.2">
      <c r="B48" s="3"/>
      <c r="C48" s="4"/>
      <c r="D48" s="4">
        <f t="shared" si="0"/>
        <v>0</v>
      </c>
      <c r="L48" s="5"/>
      <c r="N48" s="3">
        <f>M48-B48</f>
        <v>0</v>
      </c>
    </row>
    <row r="49" spans="2:14" ht="12.75" x14ac:dyDescent="0.2">
      <c r="B49" s="3"/>
      <c r="C49" s="4"/>
      <c r="D49" s="4">
        <f t="shared" si="0"/>
        <v>0</v>
      </c>
      <c r="L49" s="5"/>
      <c r="N49" s="3">
        <f>M49-B49</f>
        <v>0</v>
      </c>
    </row>
    <row r="50" spans="2:14" ht="12.75" x14ac:dyDescent="0.2">
      <c r="B50" s="3"/>
      <c r="C50" s="4"/>
      <c r="D50" s="4">
        <f t="shared" si="0"/>
        <v>0</v>
      </c>
      <c r="L50" s="5"/>
      <c r="N50" s="3">
        <f>M50-B50</f>
        <v>0</v>
      </c>
    </row>
    <row r="51" spans="2:14" ht="12.75" x14ac:dyDescent="0.2">
      <c r="B51" s="3"/>
      <c r="C51" s="4"/>
      <c r="D51" s="4">
        <f t="shared" si="0"/>
        <v>0</v>
      </c>
      <c r="L51" s="5"/>
      <c r="N51" s="3">
        <f>M51-B51</f>
        <v>0</v>
      </c>
    </row>
    <row r="52" spans="2:14" ht="12.75" x14ac:dyDescent="0.2">
      <c r="B52" s="3"/>
      <c r="C52" s="4"/>
      <c r="D52" s="4">
        <f t="shared" si="0"/>
        <v>0</v>
      </c>
      <c r="L52" s="5"/>
      <c r="N52" s="3">
        <f>M52-B52</f>
        <v>0</v>
      </c>
    </row>
    <row r="53" spans="2:14" ht="12.75" x14ac:dyDescent="0.2">
      <c r="B53" s="3"/>
      <c r="C53" s="4"/>
      <c r="D53" s="4">
        <f t="shared" si="0"/>
        <v>0</v>
      </c>
      <c r="L53" s="5"/>
      <c r="N53" s="3">
        <f>M53-B53</f>
        <v>0</v>
      </c>
    </row>
    <row r="54" spans="2:14" ht="12.75" x14ac:dyDescent="0.2">
      <c r="B54" s="3"/>
      <c r="C54" s="4"/>
      <c r="D54" s="4">
        <f t="shared" si="0"/>
        <v>0</v>
      </c>
      <c r="L54" s="5"/>
      <c r="N54" s="3">
        <f>M54-B54</f>
        <v>0</v>
      </c>
    </row>
    <row r="55" spans="2:14" ht="12.75" x14ac:dyDescent="0.2">
      <c r="B55" s="3"/>
      <c r="C55" s="4"/>
      <c r="D55" s="4">
        <f t="shared" si="0"/>
        <v>0</v>
      </c>
      <c r="L55" s="5"/>
      <c r="N55" s="3">
        <f>M55-B55</f>
        <v>0</v>
      </c>
    </row>
    <row r="56" spans="2:14" ht="12.75" x14ac:dyDescent="0.2">
      <c r="B56" s="3"/>
      <c r="C56" s="4"/>
      <c r="D56" s="4">
        <f t="shared" si="0"/>
        <v>0</v>
      </c>
      <c r="L56" s="5"/>
      <c r="N56" s="3">
        <f>M56-B56</f>
        <v>0</v>
      </c>
    </row>
    <row r="57" spans="2:14" ht="12.75" x14ac:dyDescent="0.2">
      <c r="B57" s="3"/>
      <c r="C57" s="4"/>
      <c r="D57" s="4">
        <f t="shared" si="0"/>
        <v>0</v>
      </c>
      <c r="L57" s="5"/>
      <c r="N57" s="3">
        <f>M57-B57</f>
        <v>0</v>
      </c>
    </row>
    <row r="58" spans="2:14" ht="12.75" x14ac:dyDescent="0.2">
      <c r="B58" s="3"/>
      <c r="C58" s="4"/>
      <c r="D58" s="4">
        <f t="shared" si="0"/>
        <v>0</v>
      </c>
      <c r="L58" s="5"/>
      <c r="N58" s="3">
        <f>M58-B58</f>
        <v>0</v>
      </c>
    </row>
    <row r="59" spans="2:14" ht="12.75" x14ac:dyDescent="0.2">
      <c r="B59" s="3"/>
      <c r="C59" s="4"/>
      <c r="D59" s="4">
        <f t="shared" si="0"/>
        <v>0</v>
      </c>
      <c r="L59" s="5"/>
      <c r="N59" s="3">
        <f>M59-B59</f>
        <v>0</v>
      </c>
    </row>
    <row r="60" spans="2:14" ht="12.75" x14ac:dyDescent="0.2">
      <c r="B60" s="3"/>
      <c r="C60" s="4"/>
      <c r="D60" s="4">
        <f t="shared" si="0"/>
        <v>0</v>
      </c>
      <c r="L60" s="5"/>
      <c r="N60" s="3">
        <f>M60-B60</f>
        <v>0</v>
      </c>
    </row>
    <row r="61" spans="2:14" ht="12.75" x14ac:dyDescent="0.2">
      <c r="B61" s="3"/>
      <c r="C61" s="4"/>
      <c r="D61" s="4">
        <f t="shared" si="0"/>
        <v>0</v>
      </c>
      <c r="L61" s="5"/>
      <c r="N61" s="3">
        <f>M61-B61</f>
        <v>0</v>
      </c>
    </row>
    <row r="62" spans="2:14" ht="12.75" x14ac:dyDescent="0.2">
      <c r="B62" s="3"/>
      <c r="C62" s="4"/>
      <c r="D62" s="4">
        <f t="shared" si="0"/>
        <v>0</v>
      </c>
      <c r="L62" s="5"/>
      <c r="N62" s="3">
        <f>M62-B62</f>
        <v>0</v>
      </c>
    </row>
    <row r="63" spans="2:14" ht="12.75" x14ac:dyDescent="0.2">
      <c r="B63" s="3"/>
      <c r="C63" s="4"/>
      <c r="D63" s="4">
        <f t="shared" si="0"/>
        <v>0</v>
      </c>
      <c r="L63" s="5"/>
      <c r="N63" s="3">
        <f>M63-B63</f>
        <v>0</v>
      </c>
    </row>
    <row r="64" spans="2:14" ht="12.75" x14ac:dyDescent="0.2">
      <c r="B64" s="3"/>
      <c r="C64" s="4"/>
      <c r="D64" s="4">
        <f t="shared" si="0"/>
        <v>0</v>
      </c>
      <c r="L64" s="5"/>
      <c r="N64" s="3">
        <f>M64-B64</f>
        <v>0</v>
      </c>
    </row>
    <row r="65" spans="2:14" ht="12.75" x14ac:dyDescent="0.2">
      <c r="B65" s="3"/>
      <c r="C65" s="4"/>
      <c r="D65" s="4">
        <f t="shared" si="0"/>
        <v>0</v>
      </c>
      <c r="L65" s="5"/>
      <c r="N65" s="3">
        <f>M65-B65</f>
        <v>0</v>
      </c>
    </row>
    <row r="66" spans="2:14" ht="12.75" x14ac:dyDescent="0.2">
      <c r="B66" s="3"/>
      <c r="C66" s="4"/>
      <c r="D66" s="4">
        <f t="shared" si="0"/>
        <v>0</v>
      </c>
      <c r="L66" s="5"/>
      <c r="N66" s="3">
        <f>M66-B66</f>
        <v>0</v>
      </c>
    </row>
    <row r="67" spans="2:14" ht="12.75" x14ac:dyDescent="0.2">
      <c r="B67" s="3"/>
      <c r="C67" s="4"/>
      <c r="D67" s="4">
        <f t="shared" si="0"/>
        <v>0</v>
      </c>
      <c r="L67" s="5"/>
      <c r="N67" s="3">
        <f>M67-B67</f>
        <v>0</v>
      </c>
    </row>
    <row r="68" spans="2:14" ht="12.75" x14ac:dyDescent="0.2">
      <c r="B68" s="3"/>
      <c r="C68" s="4"/>
      <c r="D68" s="4">
        <f t="shared" si="0"/>
        <v>0</v>
      </c>
      <c r="L68" s="5"/>
      <c r="N68" s="3">
        <f>M68-B68</f>
        <v>0</v>
      </c>
    </row>
    <row r="69" spans="2:14" ht="12.75" x14ac:dyDescent="0.2">
      <c r="B69" s="3"/>
      <c r="C69" s="4"/>
      <c r="D69" s="4">
        <f t="shared" si="0"/>
        <v>0</v>
      </c>
      <c r="L69" s="5"/>
      <c r="N69" s="3">
        <f>M69-B69</f>
        <v>0</v>
      </c>
    </row>
    <row r="70" spans="2:14" ht="12.75" x14ac:dyDescent="0.2">
      <c r="B70" s="3"/>
      <c r="C70" s="4"/>
      <c r="D70" s="4">
        <f t="shared" si="0"/>
        <v>0</v>
      </c>
      <c r="L70" s="5"/>
      <c r="N70" s="3">
        <f>M70-B70</f>
        <v>0</v>
      </c>
    </row>
    <row r="71" spans="2:14" ht="12.75" x14ac:dyDescent="0.2">
      <c r="B71" s="3"/>
      <c r="C71" s="4"/>
      <c r="D71" s="4">
        <f t="shared" si="0"/>
        <v>0</v>
      </c>
      <c r="L71" s="5"/>
      <c r="N71" s="3">
        <f>M71-B71</f>
        <v>0</v>
      </c>
    </row>
    <row r="72" spans="2:14" ht="12.75" x14ac:dyDescent="0.2">
      <c r="B72" s="3"/>
      <c r="C72" s="4"/>
      <c r="D72" s="4">
        <f t="shared" si="0"/>
        <v>0</v>
      </c>
      <c r="L72" s="5"/>
      <c r="N72" s="3">
        <f>M72-B72</f>
        <v>0</v>
      </c>
    </row>
    <row r="73" spans="2:14" ht="12.75" x14ac:dyDescent="0.2">
      <c r="B73" s="3"/>
      <c r="C73" s="4"/>
      <c r="D73" s="4">
        <f t="shared" si="0"/>
        <v>0</v>
      </c>
      <c r="L73" s="5"/>
      <c r="N73" s="3">
        <f>M73-B73</f>
        <v>0</v>
      </c>
    </row>
    <row r="74" spans="2:14" ht="12.75" x14ac:dyDescent="0.2">
      <c r="B74" s="3"/>
      <c r="C74" s="4"/>
      <c r="D74" s="4">
        <f t="shared" si="0"/>
        <v>0</v>
      </c>
      <c r="L74" s="5"/>
      <c r="N74" s="3">
        <f>M74-B74</f>
        <v>0</v>
      </c>
    </row>
    <row r="75" spans="2:14" ht="12.75" x14ac:dyDescent="0.2">
      <c r="B75" s="3"/>
      <c r="C75" s="4"/>
      <c r="D75" s="4">
        <f t="shared" si="0"/>
        <v>0</v>
      </c>
      <c r="L75" s="5"/>
      <c r="N75" s="3">
        <f>M75-B75</f>
        <v>0</v>
      </c>
    </row>
    <row r="76" spans="2:14" ht="12.75" x14ac:dyDescent="0.2">
      <c r="B76" s="3"/>
      <c r="C76" s="4"/>
      <c r="D76" s="4">
        <f t="shared" si="0"/>
        <v>0</v>
      </c>
      <c r="L76" s="5"/>
      <c r="N76" s="3">
        <f>M76-B76</f>
        <v>0</v>
      </c>
    </row>
    <row r="77" spans="2:14" ht="12.75" x14ac:dyDescent="0.2">
      <c r="B77" s="3"/>
      <c r="C77" s="4"/>
      <c r="D77" s="4">
        <f t="shared" si="0"/>
        <v>0</v>
      </c>
      <c r="L77" s="5"/>
      <c r="N77" s="3">
        <f>M77-B77</f>
        <v>0</v>
      </c>
    </row>
    <row r="78" spans="2:14" ht="12.75" x14ac:dyDescent="0.2">
      <c r="B78" s="3"/>
      <c r="C78" s="4"/>
      <c r="D78" s="4">
        <f t="shared" si="0"/>
        <v>0</v>
      </c>
      <c r="L78" s="5"/>
      <c r="N78" s="3">
        <f>M78-B78</f>
        <v>0</v>
      </c>
    </row>
    <row r="79" spans="2:14" ht="12.75" x14ac:dyDescent="0.2">
      <c r="B79" s="3"/>
      <c r="C79" s="4"/>
      <c r="D79" s="4">
        <f t="shared" si="0"/>
        <v>0</v>
      </c>
      <c r="L79" s="5"/>
      <c r="N79" s="3">
        <f>M79-B79</f>
        <v>0</v>
      </c>
    </row>
    <row r="80" spans="2:14" ht="12.75" x14ac:dyDescent="0.2">
      <c r="B80" s="3"/>
      <c r="C80" s="4"/>
      <c r="D80" s="4">
        <f t="shared" si="0"/>
        <v>0</v>
      </c>
      <c r="L80" s="5"/>
      <c r="N80" s="3">
        <f>M80-B80</f>
        <v>0</v>
      </c>
    </row>
    <row r="81" spans="2:14" ht="12.75" x14ac:dyDescent="0.2">
      <c r="B81" s="3"/>
      <c r="C81" s="4"/>
      <c r="D81" s="4">
        <f t="shared" si="0"/>
        <v>0</v>
      </c>
      <c r="L81" s="5"/>
      <c r="N81" s="3">
        <f>M81-B81</f>
        <v>0</v>
      </c>
    </row>
    <row r="82" spans="2:14" ht="12.75" x14ac:dyDescent="0.2">
      <c r="B82" s="3"/>
      <c r="C82" s="4"/>
      <c r="D82" s="4">
        <f t="shared" si="0"/>
        <v>0</v>
      </c>
      <c r="L82" s="5"/>
      <c r="N82" s="3">
        <f>M82-B82</f>
        <v>0</v>
      </c>
    </row>
    <row r="83" spans="2:14" ht="12.75" x14ac:dyDescent="0.2">
      <c r="B83" s="3"/>
      <c r="C83" s="4"/>
      <c r="D83" s="4">
        <f t="shared" si="0"/>
        <v>0</v>
      </c>
      <c r="L83" s="5"/>
      <c r="N83" s="3">
        <f>M83-B83</f>
        <v>0</v>
      </c>
    </row>
    <row r="84" spans="2:14" ht="12.75" x14ac:dyDescent="0.2">
      <c r="B84" s="3"/>
      <c r="C84" s="4"/>
      <c r="D84" s="4">
        <f t="shared" si="0"/>
        <v>0</v>
      </c>
      <c r="L84" s="5"/>
      <c r="N84" s="3">
        <f>M84-B84</f>
        <v>0</v>
      </c>
    </row>
    <row r="85" spans="2:14" ht="12.75" x14ac:dyDescent="0.2">
      <c r="B85" s="3"/>
      <c r="C85" s="4"/>
      <c r="D85" s="4">
        <f t="shared" si="0"/>
        <v>0</v>
      </c>
      <c r="L85" s="5"/>
      <c r="N85" s="3">
        <f>M85-B85</f>
        <v>0</v>
      </c>
    </row>
    <row r="86" spans="2:14" ht="12.75" x14ac:dyDescent="0.2">
      <c r="B86" s="3"/>
      <c r="C86" s="4"/>
      <c r="D86" s="4">
        <f t="shared" si="0"/>
        <v>0</v>
      </c>
      <c r="L86" s="5"/>
      <c r="N86" s="3">
        <f>M86-B86</f>
        <v>0</v>
      </c>
    </row>
    <row r="87" spans="2:14" ht="12.75" x14ac:dyDescent="0.2">
      <c r="B87" s="3"/>
      <c r="C87" s="4"/>
      <c r="D87" s="4">
        <f t="shared" si="0"/>
        <v>0</v>
      </c>
      <c r="L87" s="5"/>
      <c r="N87" s="3">
        <f>M87-B87</f>
        <v>0</v>
      </c>
    </row>
    <row r="88" spans="2:14" ht="12.75" x14ac:dyDescent="0.2">
      <c r="B88" s="3"/>
      <c r="C88" s="4"/>
      <c r="D88" s="4">
        <f t="shared" si="0"/>
        <v>0</v>
      </c>
      <c r="L88" s="5"/>
      <c r="N88" s="3">
        <f>M88-B88</f>
        <v>0</v>
      </c>
    </row>
    <row r="89" spans="2:14" ht="12.75" x14ac:dyDescent="0.2">
      <c r="B89" s="3"/>
      <c r="C89" s="4"/>
      <c r="D89" s="4">
        <f t="shared" si="0"/>
        <v>0</v>
      </c>
      <c r="L89" s="5"/>
      <c r="N89" s="3">
        <f>M89-B89</f>
        <v>0</v>
      </c>
    </row>
    <row r="90" spans="2:14" ht="12.75" x14ac:dyDescent="0.2">
      <c r="B90" s="3"/>
      <c r="C90" s="4"/>
      <c r="D90" s="4">
        <f t="shared" si="0"/>
        <v>0</v>
      </c>
      <c r="L90" s="5"/>
      <c r="N90" s="3">
        <f>M90-B90</f>
        <v>0</v>
      </c>
    </row>
    <row r="91" spans="2:14" ht="12.75" x14ac:dyDescent="0.2">
      <c r="B91" s="3"/>
      <c r="C91" s="4"/>
      <c r="D91" s="4">
        <f t="shared" si="0"/>
        <v>0</v>
      </c>
      <c r="L91" s="5"/>
      <c r="N91" s="3">
        <f>M91-B91</f>
        <v>0</v>
      </c>
    </row>
    <row r="92" spans="2:14" ht="12.75" x14ac:dyDescent="0.2">
      <c r="B92" s="3"/>
      <c r="C92" s="4"/>
      <c r="D92" s="4">
        <f t="shared" si="0"/>
        <v>0</v>
      </c>
      <c r="L92" s="5"/>
      <c r="N92" s="3">
        <f>M92-B92</f>
        <v>0</v>
      </c>
    </row>
    <row r="93" spans="2:14" ht="12.75" x14ac:dyDescent="0.2">
      <c r="B93" s="3"/>
      <c r="C93" s="4"/>
      <c r="D93" s="4">
        <f t="shared" si="0"/>
        <v>0</v>
      </c>
      <c r="L93" s="5"/>
      <c r="N93" s="3">
        <f>M93-B93</f>
        <v>0</v>
      </c>
    </row>
    <row r="94" spans="2:14" ht="12.75" x14ac:dyDescent="0.2">
      <c r="B94" s="3"/>
      <c r="C94" s="4"/>
      <c r="D94" s="4">
        <f t="shared" si="0"/>
        <v>0</v>
      </c>
      <c r="L94" s="5"/>
      <c r="N94" s="3">
        <f>M94-B94</f>
        <v>0</v>
      </c>
    </row>
    <row r="95" spans="2:14" ht="12.75" x14ac:dyDescent="0.2">
      <c r="B95" s="3"/>
      <c r="C95" s="4"/>
      <c r="D95" s="4">
        <f t="shared" si="0"/>
        <v>0</v>
      </c>
      <c r="L95" s="5"/>
      <c r="N95" s="3">
        <f>M95-B95</f>
        <v>0</v>
      </c>
    </row>
    <row r="96" spans="2:14" ht="12.75" x14ac:dyDescent="0.2">
      <c r="B96" s="3"/>
      <c r="C96" s="4"/>
      <c r="D96" s="4">
        <f t="shared" si="0"/>
        <v>0</v>
      </c>
      <c r="L96" s="5"/>
      <c r="N96" s="3">
        <f>M96-B96</f>
        <v>0</v>
      </c>
    </row>
    <row r="97" spans="2:14" ht="12.75" x14ac:dyDescent="0.2">
      <c r="B97" s="3"/>
      <c r="C97" s="4"/>
      <c r="D97" s="4">
        <f t="shared" si="0"/>
        <v>0</v>
      </c>
      <c r="L97" s="5"/>
      <c r="N97" s="3">
        <f>M97-B97</f>
        <v>0</v>
      </c>
    </row>
    <row r="98" spans="2:14" ht="12.75" x14ac:dyDescent="0.2">
      <c r="B98" s="3"/>
      <c r="C98" s="4"/>
      <c r="D98" s="4">
        <f t="shared" si="0"/>
        <v>0</v>
      </c>
      <c r="L98" s="5"/>
      <c r="N98" s="3">
        <f>M98-B98</f>
        <v>0</v>
      </c>
    </row>
    <row r="99" spans="2:14" ht="12.75" x14ac:dyDescent="0.2">
      <c r="B99" s="3"/>
      <c r="C99" s="4"/>
      <c r="D99" s="4">
        <f t="shared" si="0"/>
        <v>0</v>
      </c>
      <c r="L99" s="5"/>
      <c r="N99" s="3">
        <f>M99-B99</f>
        <v>0</v>
      </c>
    </row>
    <row r="100" spans="2:14" ht="12.75" x14ac:dyDescent="0.2"/>
    <row r="101" spans="2:14" ht="12.75" x14ac:dyDescent="0.2"/>
  </sheetData>
  <mergeCells count="1">
    <mergeCell ref="A1:O1"/>
  </mergeCells>
  <phoneticPr fontId="13" type="noConversion"/>
  <hyperlinks>
    <hyperlink ref="G3" r:id="rId1" xr:uid="{39BE2D2A-E6A1-44FB-8488-0C35E551361A}"/>
    <hyperlink ref="H3" r:id="rId2" xr:uid="{5BBE8297-36A4-4FE8-BE8E-4276977F6F0C}"/>
    <hyperlink ref="G5" r:id="rId3" xr:uid="{A5400FFD-92D9-49E7-9D5E-13FFD88EA3C1}"/>
    <hyperlink ref="G4" r:id="rId4" xr:uid="{AC3C0D06-0630-4DE5-A60D-7F4AD55A833F}"/>
    <hyperlink ref="H5" r:id="rId5" display="https://ww1.microchip.com/downloads/en/DeviceDoc/MCP6001-1R-1U-2-4-1-MHz-Low-Power-Op-Amp-DS20001733L.pdf" xr:uid="{9A5C0568-3702-4433-83C5-6F07CF05BFCA}"/>
    <hyperlink ref="H4" r:id="rId6" display="https://look.ams-osram.com/m/236756eb2a4c9193/original/SFH-213.pdf" xr:uid="{4290F326-05BD-41B5-AC9A-CC632E9EBE54}"/>
    <hyperlink ref="G6" r:id="rId7" xr:uid="{6B90422D-6613-46E1-A43F-687C4B77FD08}"/>
    <hyperlink ref="H6" r:id="rId8" xr:uid="{BCDC20AD-D2C4-43D0-AC8B-95B1DF690C51}"/>
    <hyperlink ref="G7" r:id="rId9" xr:uid="{E157D48D-EB91-4583-B720-403B4DE24E82}"/>
    <hyperlink ref="G8:G20" r:id="rId10" display="https://www.dropbox.com/scl/fi/2vn7lf6sw42n8gvxrnfy8/Spring-2023-Order-Planning.xlsx?rlkey=sb7mjh9vm48ac2a8zcb9fryed&amp;e=2&amp;dl=0" xr:uid="{0E433046-0CFE-42E2-894C-611A36C12B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Griswold</cp:lastModifiedBy>
  <dcterms:modified xsi:type="dcterms:W3CDTF">2026-10-30T21:12:54Z</dcterms:modified>
</cp:coreProperties>
</file>